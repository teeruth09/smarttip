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3.xml" ContentType="application/vnd.ms-excel.person+xml"/>
  <Override PartName="/xl/persons/person2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58be925f988088/Desktop/New folder/"/>
    </mc:Choice>
  </mc:AlternateContent>
  <xr:revisionPtr revIDLastSave="27" documentId="8_{727B2C68-9BB7-4634-86C0-4EE1BD63873B}" xr6:coauthVersionLast="47" xr6:coauthVersionMax="47" xr10:uidLastSave="{DFD28661-3422-4060-B4B9-7C8C577493A7}"/>
  <bookViews>
    <workbookView xWindow="-108" yWindow="-108" windowWidth="23256" windowHeight="12456" xr2:uid="{C9471990-3785-471A-BA59-2E978BEA9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4" i="1" l="1"/>
  <c r="K64" i="1"/>
  <c r="M64" i="1"/>
  <c r="P23" i="1"/>
  <c r="N21" i="1"/>
  <c r="N9" i="1"/>
  <c r="N8" i="1"/>
  <c r="N13" i="1"/>
  <c r="N17" i="1"/>
  <c r="N15" i="1"/>
  <c r="N24" i="1"/>
  <c r="N18" i="1"/>
  <c r="N12" i="1"/>
  <c r="N27" i="1"/>
  <c r="N20" i="1"/>
  <c r="N22" i="1"/>
  <c r="N23" i="1"/>
  <c r="N14" i="1"/>
  <c r="N11" i="1"/>
  <c r="K56" i="1"/>
  <c r="J51" i="1"/>
  <c r="I51" i="1"/>
  <c r="I52" i="1"/>
  <c r="G51" i="1"/>
  <c r="H51" i="1" s="1"/>
  <c r="J56" i="1"/>
  <c r="J54" i="1"/>
  <c r="I56" i="1"/>
  <c r="I54" i="1"/>
  <c r="H56" i="1"/>
  <c r="G56" i="1"/>
  <c r="G54" i="1"/>
  <c r="K54" i="1"/>
  <c r="K52" i="1"/>
  <c r="K49" i="1"/>
  <c r="J52" i="1"/>
  <c r="J53" i="1"/>
  <c r="J50" i="1"/>
  <c r="I53" i="1"/>
  <c r="I50" i="1"/>
  <c r="H52" i="1"/>
  <c r="H53" i="1"/>
  <c r="H54" i="1"/>
  <c r="G52" i="1"/>
  <c r="G53" i="1"/>
  <c r="G50" i="1"/>
  <c r="K46" i="1"/>
  <c r="K44" i="1"/>
  <c r="K43" i="1"/>
  <c r="K40" i="1"/>
  <c r="K38" i="1"/>
  <c r="K37" i="1"/>
  <c r="K33" i="1"/>
  <c r="K31" i="1"/>
  <c r="K29" i="1"/>
  <c r="K27" i="1"/>
  <c r="K24" i="1"/>
  <c r="I24" i="1"/>
  <c r="K23" i="1"/>
  <c r="K20" i="1"/>
  <c r="K19" i="1"/>
  <c r="K16" i="1"/>
  <c r="K14" i="1"/>
  <c r="K25" i="1"/>
  <c r="K18" i="1"/>
  <c r="K11" i="1"/>
  <c r="J8" i="1"/>
  <c r="J9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I48" i="1"/>
  <c r="I47" i="1"/>
  <c r="I45" i="1"/>
  <c r="I42" i="1"/>
  <c r="I41" i="1"/>
  <c r="I39" i="1"/>
  <c r="I36" i="1"/>
  <c r="I35" i="1"/>
  <c r="I37" i="1"/>
  <c r="I38" i="1"/>
  <c r="I40" i="1"/>
  <c r="I43" i="1"/>
  <c r="I44" i="1"/>
  <c r="I46" i="1"/>
  <c r="I49" i="1"/>
  <c r="I32" i="1"/>
  <c r="I30" i="1"/>
  <c r="I28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19" i="1"/>
  <c r="I29" i="1"/>
  <c r="I31" i="1"/>
  <c r="I33" i="1"/>
  <c r="I25" i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27" i="1"/>
  <c r="H27" i="1" s="1"/>
  <c r="G25" i="1"/>
  <c r="H25" i="1" s="1"/>
  <c r="G24" i="1"/>
  <c r="H24" i="1" s="1"/>
  <c r="G23" i="1"/>
  <c r="H23" i="1" s="1"/>
  <c r="I23" i="1" s="1"/>
  <c r="G22" i="1"/>
  <c r="H22" i="1" s="1"/>
  <c r="G21" i="1"/>
  <c r="H21" i="1" s="1"/>
  <c r="G20" i="1"/>
  <c r="H20" i="1" s="1"/>
  <c r="H19" i="1"/>
  <c r="G18" i="1"/>
  <c r="H18" i="1" s="1"/>
  <c r="H6" i="1"/>
  <c r="I6" i="1" s="1"/>
  <c r="J6" i="1" s="1"/>
  <c r="H7" i="1"/>
  <c r="I7" i="1" s="1"/>
  <c r="J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5" i="1"/>
  <c r="I5" i="1" s="1"/>
  <c r="J5" i="1" s="1"/>
  <c r="G16" i="1"/>
  <c r="G15" i="1"/>
  <c r="H15" i="1" s="1"/>
  <c r="I15" i="1" s="1"/>
  <c r="G14" i="1"/>
  <c r="H14" i="1" s="1"/>
  <c r="I14" i="1" s="1"/>
  <c r="I27" i="1" l="1"/>
  <c r="J27" i="1" s="1"/>
  <c r="I16" i="1"/>
  <c r="I20" i="1"/>
  <c r="I22" i="1"/>
  <c r="H16" i="1"/>
  <c r="I19" i="1"/>
  <c r="I18" i="1"/>
  <c r="I21" i="1"/>
</calcChain>
</file>

<file path=xl/sharedStrings.xml><?xml version="1.0" encoding="utf-8"?>
<sst xmlns="http://schemas.openxmlformats.org/spreadsheetml/2006/main" count="139" uniqueCount="48">
  <si>
    <t>Date</t>
  </si>
  <si>
    <t>Action</t>
  </si>
  <si>
    <t>Symbol</t>
  </si>
  <si>
    <t>Price</t>
  </si>
  <si>
    <t>Dividend</t>
  </si>
  <si>
    <t>Volume</t>
  </si>
  <si>
    <t xml:space="preserve">Value </t>
  </si>
  <si>
    <t>Comm</t>
  </si>
  <si>
    <t>NET</t>
  </si>
  <si>
    <t>Avg Cost</t>
  </si>
  <si>
    <t>Realized</t>
  </si>
  <si>
    <r>
      <t>Buy</t>
    </r>
    <r>
      <rPr>
        <sz val="11"/>
        <color rgb="FF000000"/>
        <rFont val="Calibri"/>
        <family val="2"/>
        <scheme val="minor"/>
      </rPr>
      <t>/</t>
    </r>
    <r>
      <rPr>
        <b/>
        <sz val="11"/>
        <color rgb="FFFF0000"/>
        <rFont val="Calibri (Body)"/>
      </rPr>
      <t>Sell</t>
    </r>
  </si>
  <si>
    <t>(A)</t>
  </si>
  <si>
    <t>(B)</t>
  </si>
  <si>
    <t>(C)</t>
  </si>
  <si>
    <t xml:space="preserve">(D) </t>
  </si>
  <si>
    <t>(E)</t>
  </si>
  <si>
    <t>(F)</t>
  </si>
  <si>
    <t>(G)</t>
  </si>
  <si>
    <t>Gain/Loss</t>
  </si>
  <si>
    <r>
      <t xml:space="preserve"> = D - E เมื่อเป็น </t>
    </r>
    <r>
      <rPr>
        <b/>
        <sz val="11"/>
        <color rgb="FFFF0000"/>
        <rFont val="Calibri (Body)"/>
      </rPr>
      <t xml:space="preserve">Sell </t>
    </r>
  </si>
  <si>
    <t>= F/C</t>
  </si>
  <si>
    <t>Buy</t>
  </si>
  <si>
    <t>Sell</t>
  </si>
  <si>
    <t>COCOCO</t>
  </si>
  <si>
    <t>=(BxC)+(AxC)</t>
  </si>
  <si>
    <t>= D + E เมื่อเป็น Buy</t>
  </si>
  <si>
    <t>WHA</t>
  </si>
  <si>
    <t>PTT</t>
  </si>
  <si>
    <t xml:space="preserve">TQM  </t>
  </si>
  <si>
    <t>SPRC</t>
  </si>
  <si>
    <t>CPALL</t>
  </si>
  <si>
    <t>= Dx0.001605</t>
  </si>
  <si>
    <t>SINO</t>
  </si>
  <si>
    <t>PTTEP</t>
  </si>
  <si>
    <t>SCB</t>
  </si>
  <si>
    <t xml:space="preserve">Buy </t>
  </si>
  <si>
    <t>DELTA</t>
  </si>
  <si>
    <t>AOT</t>
  </si>
  <si>
    <t>BBL</t>
  </si>
  <si>
    <t>TACC</t>
  </si>
  <si>
    <t>นายธีรุตม์ เอี้ยวสกุลรัตน์ 65010495</t>
  </si>
  <si>
    <t xml:space="preserve">เงินต้น </t>
  </si>
  <si>
    <t>ยอดสุทธิ</t>
  </si>
  <si>
    <t>TQM</t>
  </si>
  <si>
    <t>TTB</t>
  </si>
  <si>
    <t>จดขาดไป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</si>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</sst>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\-mmm"/>
  </numFmts>
  <fonts count="17">
    <font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B0F0"/>
      <name val="Calibri (Body)"/>
    </font>
    <font>
      <b/>
      <sz val="11"/>
      <color rgb="FFFF0000"/>
      <name val="Calibri (Body)"/>
    </font>
    <font>
      <b/>
      <u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CE6E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3" fontId="0" fillId="0" borderId="0" xfId="0" applyNumberFormat="1"/>
    <xf numFmtId="3" fontId="2" fillId="0" borderId="7" xfId="0" applyNumberFormat="1" applyFont="1" applyBorder="1" applyAlignment="1">
      <alignment wrapText="1"/>
    </xf>
    <xf numFmtId="4" fontId="0" fillId="0" borderId="0" xfId="0" applyNumberFormat="1"/>
    <xf numFmtId="0" fontId="2" fillId="0" borderId="9" xfId="0" applyFont="1" applyBorder="1" applyAlignment="1">
      <alignment horizontal="center" vertical="top"/>
    </xf>
    <xf numFmtId="4" fontId="3" fillId="5" borderId="7" xfId="0" applyNumberFormat="1" applyFont="1" applyFill="1" applyBorder="1" applyAlignment="1">
      <alignment horizontal="center"/>
    </xf>
    <xf numFmtId="0" fontId="2" fillId="4" borderId="10" xfId="0" applyFont="1" applyFill="1" applyBorder="1" applyAlignment="1">
      <alignment wrapText="1"/>
    </xf>
    <xf numFmtId="0" fontId="2" fillId="0" borderId="11" xfId="0" applyFont="1" applyBorder="1"/>
    <xf numFmtId="3" fontId="2" fillId="0" borderId="11" xfId="0" applyNumberFormat="1" applyFont="1" applyBorder="1"/>
    <xf numFmtId="4" fontId="7" fillId="4" borderId="6" xfId="0" applyNumberFormat="1" applyFont="1" applyFill="1" applyBorder="1" applyAlignment="1">
      <alignment wrapText="1"/>
    </xf>
    <xf numFmtId="4" fontId="8" fillId="4" borderId="6" xfId="0" applyNumberFormat="1" applyFont="1" applyFill="1" applyBorder="1" applyAlignment="1">
      <alignment wrapText="1"/>
    </xf>
    <xf numFmtId="0" fontId="3" fillId="3" borderId="5" xfId="0" quotePrefix="1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4" fontId="8" fillId="0" borderId="0" xfId="0" applyNumberFormat="1" applyFont="1"/>
    <xf numFmtId="0" fontId="8" fillId="0" borderId="0" xfId="0" applyFont="1"/>
    <xf numFmtId="4" fontId="7" fillId="0" borderId="0" xfId="0" applyNumberFormat="1" applyFont="1"/>
    <xf numFmtId="0" fontId="10" fillId="0" borderId="0" xfId="0" applyFont="1"/>
    <xf numFmtId="164" fontId="11" fillId="0" borderId="0" xfId="0" applyNumberFormat="1" applyFont="1" applyAlignment="1">
      <alignment vertical="center" wrapText="1"/>
    </xf>
    <xf numFmtId="0" fontId="0" fillId="6" borderId="0" xfId="0" applyFill="1" applyAlignment="1">
      <alignment horizontal="center"/>
    </xf>
    <xf numFmtId="164" fontId="1" fillId="2" borderId="18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4" xfId="0" quotePrefix="1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6" fillId="0" borderId="14" xfId="0" quotePrefix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4" fontId="2" fillId="0" borderId="8" xfId="0" applyNumberFormat="1" applyFont="1" applyBorder="1" applyAlignment="1">
      <alignment wrapText="1"/>
    </xf>
    <xf numFmtId="4" fontId="2" fillId="0" borderId="12" xfId="0" applyNumberFormat="1" applyFont="1" applyBorder="1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6" borderId="3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wrapText="1"/>
    </xf>
    <xf numFmtId="0" fontId="12" fillId="6" borderId="11" xfId="0" applyFont="1" applyFill="1" applyBorder="1" applyAlignment="1">
      <alignment horizontal="center" wrapText="1"/>
    </xf>
    <xf numFmtId="0" fontId="12" fillId="6" borderId="5" xfId="0" applyFont="1" applyFill="1" applyBorder="1" applyAlignment="1">
      <alignment horizontal="center" wrapText="1"/>
    </xf>
    <xf numFmtId="0" fontId="13" fillId="6" borderId="0" xfId="0" applyFont="1" applyFill="1" applyAlignment="1">
      <alignment horizontal="center" wrapText="1"/>
    </xf>
    <xf numFmtId="0" fontId="12" fillId="6" borderId="0" xfId="0" applyFont="1" applyFill="1" applyAlignment="1">
      <alignment horizontal="center" wrapText="1"/>
    </xf>
    <xf numFmtId="0" fontId="14" fillId="6" borderId="0" xfId="0" applyFont="1" applyFill="1" applyAlignment="1">
      <alignment horizont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wrapText="1"/>
    </xf>
    <xf numFmtId="0" fontId="16" fillId="7" borderId="11" xfId="0" applyFont="1" applyFill="1" applyBorder="1" applyAlignment="1">
      <alignment horizontal="center" wrapText="1"/>
    </xf>
    <xf numFmtId="0" fontId="2" fillId="7" borderId="11" xfId="0" applyFont="1" applyFill="1" applyBorder="1" applyAlignment="1">
      <alignment horizontal="center" wrapText="1"/>
    </xf>
    <xf numFmtId="0" fontId="1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wrapText="1"/>
    </xf>
    <xf numFmtId="0" fontId="2" fillId="8" borderId="11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15" fillId="8" borderId="0" xfId="0" applyFont="1" applyFill="1"/>
    <xf numFmtId="0" fontId="0" fillId="8" borderId="0" xfId="0" applyFill="1"/>
    <xf numFmtId="164" fontId="9" fillId="0" borderId="0" xfId="0" applyNumberFormat="1" applyFont="1" applyAlignment="1">
      <alignment vertical="center" wrapText="1"/>
    </xf>
    <xf numFmtId="0" fontId="0" fillId="9" borderId="0" xfId="0" applyFill="1"/>
    <xf numFmtId="4" fontId="0" fillId="9" borderId="0" xfId="0" applyNumberForma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853F"/>
      <color rgb="FF310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12" Type="http://schemas.microsoft.com/office/2017/10/relationships/person" Target="persons/person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3.xml"/><Relationship Id="rId5" Type="http://schemas.microsoft.com/office/2017/10/relationships/person" Target="persons/perso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39D5-E6FE-42C2-8FE6-31FE372D934D}">
  <dimension ref="A1:S68"/>
  <sheetViews>
    <sheetView tabSelected="1" workbookViewId="0">
      <selection activeCell="O65" sqref="O65"/>
    </sheetView>
  </sheetViews>
  <sheetFormatPr defaultRowHeight="14.4"/>
  <cols>
    <col min="1" max="1" width="9.5546875" bestFit="1" customWidth="1"/>
    <col min="2" max="3" width="8.88671875" style="49"/>
    <col min="4" max="4" width="8.88671875" style="50"/>
    <col min="7" max="7" width="10.109375" bestFit="1" customWidth="1"/>
    <col min="9" max="9" width="11.44140625" bestFit="1" customWidth="1"/>
    <col min="10" max="10" width="11.5546875" bestFit="1" customWidth="1"/>
    <col min="11" max="11" width="11.44140625" bestFit="1" customWidth="1"/>
    <col min="15" max="15" width="11.44140625" bestFit="1" customWidth="1"/>
  </cols>
  <sheetData>
    <row r="1" spans="1:19">
      <c r="A1" s="33" t="s">
        <v>0</v>
      </c>
      <c r="B1" s="51" t="s">
        <v>1</v>
      </c>
      <c r="C1" s="61" t="s">
        <v>2</v>
      </c>
      <c r="D1" s="70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4" t="s">
        <v>10</v>
      </c>
      <c r="N1" s="30" t="s">
        <v>41</v>
      </c>
      <c r="O1" s="30"/>
      <c r="P1" s="30"/>
      <c r="Q1" s="30"/>
      <c r="R1" s="30"/>
      <c r="S1" s="30"/>
    </row>
    <row r="2" spans="1:19" ht="28.2">
      <c r="A2" s="34"/>
      <c r="B2" s="52" t="s">
        <v>11</v>
      </c>
      <c r="C2" s="62"/>
      <c r="D2" s="71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 t="s">
        <v>17</v>
      </c>
      <c r="J2" s="5" t="s">
        <v>18</v>
      </c>
      <c r="K2" s="7" t="s">
        <v>19</v>
      </c>
    </row>
    <row r="3" spans="1:19" ht="28.8">
      <c r="A3" s="34"/>
      <c r="B3" s="53" t="s">
        <v>4</v>
      </c>
      <c r="C3" s="63"/>
      <c r="D3" s="72"/>
      <c r="E3" s="36"/>
      <c r="F3" s="36"/>
      <c r="G3" s="38" t="s">
        <v>25</v>
      </c>
      <c r="H3" s="40" t="s">
        <v>32</v>
      </c>
      <c r="I3" s="19" t="s">
        <v>26</v>
      </c>
      <c r="J3" s="42" t="s">
        <v>21</v>
      </c>
      <c r="K3" s="31"/>
    </row>
    <row r="4" spans="1:19" ht="28.8">
      <c r="A4" s="35"/>
      <c r="B4" s="54"/>
      <c r="C4" s="64"/>
      <c r="D4" s="73"/>
      <c r="E4" s="37"/>
      <c r="F4" s="37"/>
      <c r="G4" s="39"/>
      <c r="H4" s="41"/>
      <c r="I4" s="6" t="s">
        <v>20</v>
      </c>
      <c r="J4" s="43"/>
      <c r="K4" s="32"/>
    </row>
    <row r="5" spans="1:19">
      <c r="A5" s="28">
        <v>45191</v>
      </c>
      <c r="B5" s="55" t="s">
        <v>22</v>
      </c>
      <c r="C5" s="65" t="b">
        <v>1</v>
      </c>
      <c r="D5" s="74">
        <v>7.65</v>
      </c>
      <c r="E5" s="8"/>
      <c r="F5" s="10">
        <v>10000</v>
      </c>
      <c r="G5" s="47">
        <v>76500</v>
      </c>
      <c r="H5" s="12">
        <f>G5*0.001605</f>
        <v>122.78250000000001</v>
      </c>
      <c r="I5" s="13">
        <f>G5+H5</f>
        <v>76622.782500000001</v>
      </c>
      <c r="J5" s="8">
        <f>I5/F5</f>
        <v>7.66227825</v>
      </c>
      <c r="K5" s="14"/>
    </row>
    <row r="6" spans="1:19">
      <c r="A6" s="29"/>
      <c r="B6" s="56" t="s">
        <v>22</v>
      </c>
      <c r="C6" s="66" t="s">
        <v>24</v>
      </c>
      <c r="D6" s="75">
        <v>10.4</v>
      </c>
      <c r="E6" s="15"/>
      <c r="F6" s="16">
        <v>10000</v>
      </c>
      <c r="G6" s="48">
        <v>104000</v>
      </c>
      <c r="H6" s="12">
        <f t="shared" ref="H6:H16" si="0">G6*0.001605</f>
        <v>166.92000000000002</v>
      </c>
      <c r="I6" s="13">
        <f>G6+H6</f>
        <v>104166.92</v>
      </c>
      <c r="J6" s="8">
        <f>I6/F6</f>
        <v>10.416691999999999</v>
      </c>
      <c r="K6" s="17"/>
    </row>
    <row r="7" spans="1:19">
      <c r="A7" s="29"/>
      <c r="B7" s="56" t="s">
        <v>22</v>
      </c>
      <c r="C7" s="67" t="s">
        <v>27</v>
      </c>
      <c r="D7" s="75">
        <v>5.35</v>
      </c>
      <c r="E7" s="15"/>
      <c r="F7" s="16">
        <v>20000</v>
      </c>
      <c r="G7" s="48">
        <v>107000</v>
      </c>
      <c r="H7" s="12">
        <f t="shared" si="0"/>
        <v>171.73500000000001</v>
      </c>
      <c r="I7" s="13">
        <f t="shared" ref="I7" si="1">G7+H7</f>
        <v>107171.735</v>
      </c>
      <c r="J7" s="8">
        <f>I7/F7</f>
        <v>5.3585867499999997</v>
      </c>
      <c r="K7" s="18"/>
    </row>
    <row r="8" spans="1:19">
      <c r="A8" s="29"/>
      <c r="B8" s="57" t="s">
        <v>22</v>
      </c>
      <c r="C8" s="68" t="s">
        <v>28</v>
      </c>
      <c r="D8" s="76">
        <v>33.5</v>
      </c>
      <c r="F8" s="9">
        <v>1000</v>
      </c>
      <c r="G8" s="11">
        <v>33500</v>
      </c>
      <c r="H8" s="12">
        <f t="shared" si="0"/>
        <v>53.767500000000005</v>
      </c>
      <c r="I8" s="11">
        <f>G8+H8</f>
        <v>33553.767500000002</v>
      </c>
      <c r="J8" s="8">
        <f t="shared" ref="J8:J49" si="2">I8/F8</f>
        <v>33.553767499999999</v>
      </c>
      <c r="M8" t="s">
        <v>38</v>
      </c>
      <c r="N8" s="11">
        <f>K44</f>
        <v>232.9375</v>
      </c>
    </row>
    <row r="9" spans="1:19">
      <c r="A9" s="29"/>
      <c r="B9" s="57" t="s">
        <v>22</v>
      </c>
      <c r="C9" s="68" t="s">
        <v>29</v>
      </c>
      <c r="D9" s="76">
        <v>33</v>
      </c>
      <c r="F9" s="9">
        <v>1000</v>
      </c>
      <c r="G9" s="11">
        <v>33000</v>
      </c>
      <c r="H9" s="12">
        <f t="shared" si="0"/>
        <v>52.965000000000003</v>
      </c>
      <c r="I9" s="11">
        <f t="shared" ref="I9:I15" si="3">G9+H9</f>
        <v>33052.964999999997</v>
      </c>
      <c r="J9" s="8">
        <f t="shared" si="2"/>
        <v>33.052964999999993</v>
      </c>
      <c r="M9" t="s">
        <v>39</v>
      </c>
      <c r="N9" s="11">
        <f>K49</f>
        <v>-92.346000000019558</v>
      </c>
    </row>
    <row r="10" spans="1:19">
      <c r="A10" s="29"/>
      <c r="B10" s="57" t="s">
        <v>22</v>
      </c>
      <c r="C10" s="68" t="s">
        <v>30</v>
      </c>
      <c r="D10" s="76">
        <v>9</v>
      </c>
      <c r="F10" s="9">
        <v>1000</v>
      </c>
      <c r="G10" s="11">
        <v>9000</v>
      </c>
      <c r="H10" s="12">
        <f t="shared" si="0"/>
        <v>14.445</v>
      </c>
      <c r="I10" s="11">
        <f t="shared" si="3"/>
        <v>9014.4449999999997</v>
      </c>
      <c r="J10" s="8">
        <f t="shared" si="2"/>
        <v>9.0144450000000003</v>
      </c>
    </row>
    <row r="11" spans="1:19">
      <c r="A11" s="29"/>
      <c r="B11" s="58" t="s">
        <v>23</v>
      </c>
      <c r="C11" s="68" t="s">
        <v>24</v>
      </c>
      <c r="D11" s="76">
        <v>10.6</v>
      </c>
      <c r="F11" s="9">
        <v>10000</v>
      </c>
      <c r="G11" s="11">
        <v>106000</v>
      </c>
      <c r="H11" s="12">
        <f t="shared" si="0"/>
        <v>170.13</v>
      </c>
      <c r="I11" s="11">
        <f>G11-H11</f>
        <v>105829.87</v>
      </c>
      <c r="J11" s="8">
        <f t="shared" si="2"/>
        <v>10.582986999999999</v>
      </c>
      <c r="K11" s="22">
        <f>I11-I6</f>
        <v>1662.9499999999971</v>
      </c>
      <c r="M11" t="s">
        <v>24</v>
      </c>
      <c r="N11" s="11">
        <f>K11+K18+K25</f>
        <v>2022.554999999993</v>
      </c>
    </row>
    <row r="12" spans="1:19">
      <c r="A12" s="29"/>
      <c r="B12" s="59" t="s">
        <v>22</v>
      </c>
      <c r="C12" s="68" t="s">
        <v>31</v>
      </c>
      <c r="D12" s="76">
        <v>61.5</v>
      </c>
      <c r="F12" s="9">
        <v>1000</v>
      </c>
      <c r="G12" s="11">
        <v>61500</v>
      </c>
      <c r="H12" s="12">
        <f t="shared" si="0"/>
        <v>98.70750000000001</v>
      </c>
      <c r="I12" s="11">
        <f t="shared" si="3"/>
        <v>61598.707499999997</v>
      </c>
      <c r="J12" s="8">
        <f t="shared" si="2"/>
        <v>61.598707499999996</v>
      </c>
      <c r="K12" s="23"/>
      <c r="M12" t="s">
        <v>31</v>
      </c>
      <c r="N12" s="11">
        <f>K27+K46</f>
        <v>-641.87249999999767</v>
      </c>
    </row>
    <row r="13" spans="1:19">
      <c r="A13" s="29"/>
      <c r="B13" s="59" t="s">
        <v>22</v>
      </c>
      <c r="C13" s="68" t="s">
        <v>27</v>
      </c>
      <c r="D13" s="76">
        <v>5.45</v>
      </c>
      <c r="F13" s="9">
        <v>30000</v>
      </c>
      <c r="G13" s="11">
        <v>163500</v>
      </c>
      <c r="H13" s="12">
        <f t="shared" si="0"/>
        <v>262.41750000000002</v>
      </c>
      <c r="I13" s="11">
        <f t="shared" si="3"/>
        <v>163762.41750000001</v>
      </c>
      <c r="J13" s="8">
        <f t="shared" si="2"/>
        <v>5.4587472500000001</v>
      </c>
      <c r="K13" s="23"/>
      <c r="M13" t="s">
        <v>37</v>
      </c>
      <c r="N13" s="11">
        <f>K40</f>
        <v>-304.73750000004657</v>
      </c>
    </row>
    <row r="14" spans="1:19">
      <c r="A14" s="29"/>
      <c r="B14" s="58" t="s">
        <v>23</v>
      </c>
      <c r="C14" s="68" t="s">
        <v>28</v>
      </c>
      <c r="D14" s="76">
        <v>33.75</v>
      </c>
      <c r="F14" s="9">
        <v>1000</v>
      </c>
      <c r="G14">
        <f t="shared" ref="G14:G25" si="4">D14*F14</f>
        <v>33750</v>
      </c>
      <c r="H14" s="12">
        <f t="shared" si="0"/>
        <v>54.168750000000003</v>
      </c>
      <c r="I14" s="11">
        <f>G14-H14</f>
        <v>33695.831250000003</v>
      </c>
      <c r="J14" s="8">
        <f t="shared" si="2"/>
        <v>33.695831250000005</v>
      </c>
      <c r="K14" s="22">
        <f>I14-I8</f>
        <v>142.06375000000116</v>
      </c>
      <c r="M14" t="s">
        <v>28</v>
      </c>
      <c r="N14" s="11">
        <f>K14</f>
        <v>142.06375000000116</v>
      </c>
    </row>
    <row r="15" spans="1:19">
      <c r="A15" s="29"/>
      <c r="B15" s="59" t="s">
        <v>22</v>
      </c>
      <c r="C15" s="68" t="s">
        <v>24</v>
      </c>
      <c r="D15" s="76">
        <v>9.9</v>
      </c>
      <c r="F15" s="9">
        <v>10000</v>
      </c>
      <c r="G15">
        <f t="shared" si="4"/>
        <v>99000</v>
      </c>
      <c r="H15" s="12">
        <f t="shared" si="0"/>
        <v>158.89500000000001</v>
      </c>
      <c r="I15" s="11">
        <f t="shared" si="3"/>
        <v>99158.895000000004</v>
      </c>
      <c r="J15" s="8">
        <f t="shared" si="2"/>
        <v>9.9158895000000005</v>
      </c>
      <c r="K15" s="23"/>
      <c r="M15" t="s">
        <v>34</v>
      </c>
      <c r="N15" s="11">
        <f>K37+K43</f>
        <v>-1058.4500000001863</v>
      </c>
    </row>
    <row r="16" spans="1:19">
      <c r="A16" s="29"/>
      <c r="B16" s="58" t="s">
        <v>23</v>
      </c>
      <c r="C16" s="68" t="b">
        <v>1</v>
      </c>
      <c r="D16" s="76">
        <v>7.7</v>
      </c>
      <c r="F16" s="9">
        <v>10000</v>
      </c>
      <c r="G16">
        <f t="shared" si="4"/>
        <v>77000</v>
      </c>
      <c r="H16" s="12">
        <f t="shared" si="0"/>
        <v>123.58500000000001</v>
      </c>
      <c r="I16" s="11">
        <f>G16-H16</f>
        <v>76876.414999999994</v>
      </c>
      <c r="J16" s="8">
        <f t="shared" si="2"/>
        <v>7.6876414999999998</v>
      </c>
      <c r="K16" s="22">
        <f>I16-I5</f>
        <v>253.63249999999243</v>
      </c>
    </row>
    <row r="17" spans="1:16">
      <c r="A17" s="21"/>
      <c r="B17" s="58"/>
      <c r="C17" s="68"/>
      <c r="D17" s="76"/>
      <c r="F17" s="9"/>
      <c r="H17" s="12"/>
      <c r="I17" s="11"/>
      <c r="J17" s="8"/>
      <c r="K17" s="23"/>
      <c r="M17" t="s">
        <v>35</v>
      </c>
      <c r="N17" s="11">
        <f>K38+K52+K54</f>
        <v>5121.2249999999767</v>
      </c>
    </row>
    <row r="18" spans="1:16">
      <c r="A18" s="28">
        <v>45194</v>
      </c>
      <c r="B18" s="58" t="s">
        <v>23</v>
      </c>
      <c r="C18" s="68" t="s">
        <v>24</v>
      </c>
      <c r="D18" s="76">
        <v>10.1</v>
      </c>
      <c r="F18" s="9">
        <v>10000</v>
      </c>
      <c r="G18">
        <f t="shared" si="4"/>
        <v>101000</v>
      </c>
      <c r="H18" s="12">
        <f t="shared" ref="H18:H56" si="5">G18*0.001605</f>
        <v>162.10500000000002</v>
      </c>
      <c r="I18" s="11">
        <f t="shared" ref="I18:I23" si="6">G18-H18</f>
        <v>100837.895</v>
      </c>
      <c r="J18" s="8">
        <f t="shared" si="2"/>
        <v>10.0837895</v>
      </c>
      <c r="K18" s="22">
        <f>I18-I15</f>
        <v>1679</v>
      </c>
      <c r="M18" t="s">
        <v>33</v>
      </c>
      <c r="N18" s="11">
        <f>K29+K31</f>
        <v>135.80849999999555</v>
      </c>
    </row>
    <row r="19" spans="1:16">
      <c r="A19" s="29"/>
      <c r="B19" s="58" t="s">
        <v>23</v>
      </c>
      <c r="C19" s="68" t="s">
        <v>29</v>
      </c>
      <c r="D19" s="76">
        <v>34.25</v>
      </c>
      <c r="F19" s="9">
        <v>1000</v>
      </c>
      <c r="G19">
        <f>D19*F19</f>
        <v>34250</v>
      </c>
      <c r="H19" s="20">
        <f t="shared" si="5"/>
        <v>54.971250000000005</v>
      </c>
      <c r="I19" s="11">
        <f t="shared" si="6"/>
        <v>34195.028749999998</v>
      </c>
      <c r="J19" s="8">
        <f t="shared" si="2"/>
        <v>34.195028749999999</v>
      </c>
      <c r="K19" s="22">
        <f>I19-I9</f>
        <v>1142.0637500000012</v>
      </c>
    </row>
    <row r="20" spans="1:16">
      <c r="A20" s="29"/>
      <c r="B20" s="58" t="s">
        <v>23</v>
      </c>
      <c r="C20" s="68" t="s">
        <v>30</v>
      </c>
      <c r="D20" s="76">
        <v>9.1999999999999993</v>
      </c>
      <c r="F20" s="9">
        <v>1000</v>
      </c>
      <c r="G20">
        <f t="shared" si="4"/>
        <v>9200</v>
      </c>
      <c r="H20" s="20">
        <f t="shared" si="5"/>
        <v>14.766</v>
      </c>
      <c r="I20" s="11">
        <f t="shared" si="6"/>
        <v>9185.2340000000004</v>
      </c>
      <c r="J20" s="8">
        <f t="shared" si="2"/>
        <v>9.1852340000000012</v>
      </c>
      <c r="K20" s="22">
        <f>I20-I10</f>
        <v>170.78900000000067</v>
      </c>
      <c r="M20" t="s">
        <v>30</v>
      </c>
      <c r="N20" s="11">
        <f>K20+K23</f>
        <v>374.666500000003</v>
      </c>
    </row>
    <row r="21" spans="1:16">
      <c r="A21" s="29"/>
      <c r="B21" s="59" t="s">
        <v>22</v>
      </c>
      <c r="C21" s="68" t="s">
        <v>30</v>
      </c>
      <c r="D21" s="76">
        <v>9.1999999999999993</v>
      </c>
      <c r="F21" s="9">
        <v>10000</v>
      </c>
      <c r="G21">
        <f t="shared" si="4"/>
        <v>92000</v>
      </c>
      <c r="H21" s="20">
        <f t="shared" si="5"/>
        <v>147.66</v>
      </c>
      <c r="I21" s="11">
        <f>G21+H21</f>
        <v>92147.66</v>
      </c>
      <c r="J21" s="8">
        <f t="shared" si="2"/>
        <v>9.2147660000000009</v>
      </c>
      <c r="K21" s="23"/>
      <c r="M21" t="s">
        <v>40</v>
      </c>
      <c r="N21" s="11">
        <f>K56</f>
        <v>-2693.9968799999983</v>
      </c>
    </row>
    <row r="22" spans="1:16">
      <c r="A22" s="29"/>
      <c r="B22" s="59" t="s">
        <v>22</v>
      </c>
      <c r="C22" s="68" t="s">
        <v>24</v>
      </c>
      <c r="D22" s="76">
        <v>10</v>
      </c>
      <c r="F22" s="9">
        <v>10000</v>
      </c>
      <c r="G22">
        <f t="shared" si="4"/>
        <v>100000</v>
      </c>
      <c r="H22" s="20">
        <f t="shared" si="5"/>
        <v>160.5</v>
      </c>
      <c r="I22" s="11">
        <f>G22+H22</f>
        <v>100160.5</v>
      </c>
      <c r="J22" s="8">
        <f t="shared" si="2"/>
        <v>10.01605</v>
      </c>
      <c r="K22" s="23"/>
      <c r="M22" t="s">
        <v>44</v>
      </c>
      <c r="N22" s="11">
        <f>K19</f>
        <v>1142.0637500000012</v>
      </c>
    </row>
    <row r="23" spans="1:16">
      <c r="A23" s="29"/>
      <c r="B23" s="58" t="s">
        <v>23</v>
      </c>
      <c r="C23" s="68" t="s">
        <v>30</v>
      </c>
      <c r="D23" s="76">
        <v>9.25</v>
      </c>
      <c r="F23" s="9">
        <v>10000</v>
      </c>
      <c r="G23">
        <f t="shared" si="4"/>
        <v>92500</v>
      </c>
      <c r="H23" s="20">
        <f t="shared" si="5"/>
        <v>148.46250000000001</v>
      </c>
      <c r="I23" s="11">
        <f t="shared" si="6"/>
        <v>92351.537500000006</v>
      </c>
      <c r="J23" s="8">
        <f t="shared" si="2"/>
        <v>9.2351537500000003</v>
      </c>
      <c r="K23" s="22">
        <f>I23-I21</f>
        <v>203.87750000000233</v>
      </c>
      <c r="M23" s="80" t="b">
        <v>1</v>
      </c>
      <c r="N23" s="81">
        <f>K16</f>
        <v>253.63249999999243</v>
      </c>
      <c r="O23" s="80" t="s">
        <v>46</v>
      </c>
      <c r="P23" s="81">
        <f>754.44-N23</f>
        <v>500.80750000000762</v>
      </c>
    </row>
    <row r="24" spans="1:16">
      <c r="A24" s="29"/>
      <c r="B24" s="58" t="s">
        <v>23</v>
      </c>
      <c r="C24" s="68" t="s">
        <v>27</v>
      </c>
      <c r="D24" s="76">
        <v>5.4</v>
      </c>
      <c r="F24" s="9">
        <v>50000</v>
      </c>
      <c r="G24">
        <f t="shared" si="4"/>
        <v>270000</v>
      </c>
      <c r="H24" s="20">
        <f t="shared" si="5"/>
        <v>433.35</v>
      </c>
      <c r="I24" s="11">
        <f>G24-H24</f>
        <v>269566.65000000002</v>
      </c>
      <c r="J24" s="8">
        <f t="shared" si="2"/>
        <v>5.3913330000000004</v>
      </c>
      <c r="K24" s="24">
        <f>I24-(I7+I13)</f>
        <v>-1367.5025000000023</v>
      </c>
      <c r="M24" t="s">
        <v>45</v>
      </c>
      <c r="N24" s="11">
        <f>K33</f>
        <v>227.95249999999942</v>
      </c>
    </row>
    <row r="25" spans="1:16">
      <c r="A25" s="29"/>
      <c r="B25" s="58" t="s">
        <v>23</v>
      </c>
      <c r="C25" s="68" t="s">
        <v>24</v>
      </c>
      <c r="D25" s="76">
        <v>9.9</v>
      </c>
      <c r="F25" s="9">
        <v>10000</v>
      </c>
      <c r="G25">
        <f t="shared" si="4"/>
        <v>99000</v>
      </c>
      <c r="H25" s="20">
        <f t="shared" si="5"/>
        <v>158.89500000000001</v>
      </c>
      <c r="I25" s="11">
        <f>G25-H25</f>
        <v>98841.104999999996</v>
      </c>
      <c r="J25" s="8">
        <f t="shared" si="2"/>
        <v>9.8841105000000002</v>
      </c>
      <c r="K25" s="24">
        <f>I25-I22</f>
        <v>-1319.3950000000041</v>
      </c>
    </row>
    <row r="26" spans="1:16">
      <c r="A26" s="29"/>
      <c r="B26" s="60"/>
      <c r="C26" s="68"/>
      <c r="D26" s="76"/>
      <c r="H26" s="20"/>
      <c r="I26" s="11"/>
      <c r="J26" s="8"/>
      <c r="K26" s="25"/>
    </row>
    <row r="27" spans="1:16">
      <c r="A27" s="28">
        <v>45196</v>
      </c>
      <c r="B27" s="44" t="s">
        <v>23</v>
      </c>
      <c r="C27" s="68" t="s">
        <v>31</v>
      </c>
      <c r="D27" s="77">
        <v>60.5</v>
      </c>
      <c r="F27" s="9">
        <v>1000</v>
      </c>
      <c r="G27">
        <f t="shared" ref="G27:G49" si="7">D27*F27</f>
        <v>60500</v>
      </c>
      <c r="H27" s="20">
        <f>G27*0.001605</f>
        <v>97.102500000000006</v>
      </c>
      <c r="I27" s="11">
        <f t="shared" ref="I27:I49" si="8">G27-H27</f>
        <v>60402.897499999999</v>
      </c>
      <c r="J27" s="8">
        <f t="shared" si="2"/>
        <v>60.402897500000002</v>
      </c>
      <c r="K27" s="24">
        <f>I27-I12</f>
        <v>-1195.8099999999977</v>
      </c>
      <c r="M27" t="s">
        <v>27</v>
      </c>
      <c r="N27" s="11">
        <f>K24</f>
        <v>-1367.5025000000023</v>
      </c>
    </row>
    <row r="28" spans="1:16">
      <c r="A28" s="29"/>
      <c r="B28" s="45" t="s">
        <v>22</v>
      </c>
      <c r="C28" s="68" t="s">
        <v>33</v>
      </c>
      <c r="D28" s="77">
        <v>1.7</v>
      </c>
      <c r="F28" s="9">
        <v>10000</v>
      </c>
      <c r="G28">
        <f t="shared" si="7"/>
        <v>17000</v>
      </c>
      <c r="H28" s="20">
        <f t="shared" si="5"/>
        <v>27.285</v>
      </c>
      <c r="I28" s="11">
        <f>G28+H28</f>
        <v>17027.285</v>
      </c>
      <c r="J28" s="8">
        <f t="shared" si="2"/>
        <v>1.7027285000000001</v>
      </c>
      <c r="K28" s="25"/>
    </row>
    <row r="29" spans="1:16">
      <c r="A29" s="29"/>
      <c r="B29" s="44" t="s">
        <v>23</v>
      </c>
      <c r="C29" s="68" t="s">
        <v>33</v>
      </c>
      <c r="D29" s="77">
        <v>1.71</v>
      </c>
      <c r="F29" s="9">
        <v>10000</v>
      </c>
      <c r="G29">
        <f t="shared" si="7"/>
        <v>17100</v>
      </c>
      <c r="H29" s="20">
        <f t="shared" si="5"/>
        <v>27.445500000000003</v>
      </c>
      <c r="I29" s="11">
        <f t="shared" si="8"/>
        <v>17072.554499999998</v>
      </c>
      <c r="J29" s="8">
        <f t="shared" si="2"/>
        <v>1.7072554499999999</v>
      </c>
      <c r="K29" s="22">
        <f>I29-I28</f>
        <v>45.269499999998516</v>
      </c>
    </row>
    <row r="30" spans="1:16">
      <c r="A30" s="29"/>
      <c r="B30" s="45" t="s">
        <v>22</v>
      </c>
      <c r="C30" s="68" t="s">
        <v>33</v>
      </c>
      <c r="D30" s="77">
        <v>1.7</v>
      </c>
      <c r="F30" s="9">
        <v>20000</v>
      </c>
      <c r="G30">
        <f t="shared" si="7"/>
        <v>34000</v>
      </c>
      <c r="H30" s="20">
        <f t="shared" si="5"/>
        <v>54.57</v>
      </c>
      <c r="I30" s="11">
        <f>G30+H30</f>
        <v>34054.57</v>
      </c>
      <c r="J30" s="8">
        <f t="shared" si="2"/>
        <v>1.7027285000000001</v>
      </c>
      <c r="K30" s="25"/>
    </row>
    <row r="31" spans="1:16">
      <c r="A31" s="29"/>
      <c r="B31" s="44" t="s">
        <v>23</v>
      </c>
      <c r="C31" s="68" t="s">
        <v>33</v>
      </c>
      <c r="D31" s="77">
        <v>1.71</v>
      </c>
      <c r="F31" s="9">
        <v>20000</v>
      </c>
      <c r="G31">
        <f t="shared" si="7"/>
        <v>34200</v>
      </c>
      <c r="H31" s="20">
        <f t="shared" si="5"/>
        <v>54.891000000000005</v>
      </c>
      <c r="I31" s="11">
        <f t="shared" si="8"/>
        <v>34145.108999999997</v>
      </c>
      <c r="J31" s="8">
        <f t="shared" si="2"/>
        <v>1.7072554499999999</v>
      </c>
      <c r="K31" s="22">
        <f>I31-I30</f>
        <v>90.538999999997031</v>
      </c>
    </row>
    <row r="32" spans="1:16">
      <c r="A32" s="29"/>
      <c r="B32" s="45" t="s">
        <v>22</v>
      </c>
      <c r="C32" s="68" t="s">
        <v>45</v>
      </c>
      <c r="D32" s="77">
        <v>1.69</v>
      </c>
      <c r="F32" s="9">
        <v>50000</v>
      </c>
      <c r="G32">
        <f t="shared" si="7"/>
        <v>84500</v>
      </c>
      <c r="H32" s="20">
        <f t="shared" si="5"/>
        <v>135.6225</v>
      </c>
      <c r="I32" s="11">
        <f>G32+H32</f>
        <v>84635.622499999998</v>
      </c>
      <c r="J32" s="8">
        <f t="shared" si="2"/>
        <v>1.6927124499999999</v>
      </c>
      <c r="K32" s="25"/>
    </row>
    <row r="33" spans="1:11">
      <c r="A33" s="29"/>
      <c r="B33" s="44" t="s">
        <v>23</v>
      </c>
      <c r="C33" s="68" t="s">
        <v>45</v>
      </c>
      <c r="D33" s="77">
        <v>1.7</v>
      </c>
      <c r="F33" s="9">
        <v>50000</v>
      </c>
      <c r="G33">
        <f t="shared" si="7"/>
        <v>85000</v>
      </c>
      <c r="H33" s="20">
        <f t="shared" si="5"/>
        <v>136.42500000000001</v>
      </c>
      <c r="I33" s="11">
        <f t="shared" si="8"/>
        <v>84863.574999999997</v>
      </c>
      <c r="J33" s="8">
        <f t="shared" si="2"/>
        <v>1.6972715</v>
      </c>
      <c r="K33" s="22">
        <f>I33-I32</f>
        <v>227.95249999999942</v>
      </c>
    </row>
    <row r="34" spans="1:11">
      <c r="A34" s="29"/>
      <c r="B34" s="46"/>
      <c r="C34" s="68"/>
      <c r="D34" s="77"/>
      <c r="H34" s="20"/>
      <c r="I34" s="11"/>
      <c r="J34" s="8"/>
      <c r="K34" s="25"/>
    </row>
    <row r="35" spans="1:11">
      <c r="A35" s="28">
        <v>45198</v>
      </c>
      <c r="B35" s="45" t="s">
        <v>22</v>
      </c>
      <c r="C35" s="68" t="s">
        <v>34</v>
      </c>
      <c r="D35" s="77">
        <v>172</v>
      </c>
      <c r="F35" s="9">
        <v>10000</v>
      </c>
      <c r="G35">
        <f t="shared" si="7"/>
        <v>1720000</v>
      </c>
      <c r="H35" s="20">
        <f t="shared" si="5"/>
        <v>2760.6000000000004</v>
      </c>
      <c r="I35" s="11">
        <f>G35+H35</f>
        <v>1722760.6</v>
      </c>
      <c r="J35" s="8">
        <f t="shared" si="2"/>
        <v>172.27606</v>
      </c>
      <c r="K35" s="25"/>
    </row>
    <row r="36" spans="1:11">
      <c r="A36" s="29"/>
      <c r="B36" s="45" t="s">
        <v>22</v>
      </c>
      <c r="C36" s="68" t="s">
        <v>35</v>
      </c>
      <c r="D36" s="77">
        <v>102</v>
      </c>
      <c r="F36" s="9">
        <v>10000</v>
      </c>
      <c r="G36">
        <f t="shared" si="7"/>
        <v>1020000</v>
      </c>
      <c r="H36" s="20">
        <f t="shared" si="5"/>
        <v>1637.1000000000001</v>
      </c>
      <c r="I36" s="11">
        <f>G36+H36</f>
        <v>1021637.1</v>
      </c>
      <c r="J36" s="8">
        <f t="shared" si="2"/>
        <v>102.16370999999999</v>
      </c>
      <c r="K36" s="25"/>
    </row>
    <row r="37" spans="1:11">
      <c r="A37" s="29"/>
      <c r="B37" s="44" t="s">
        <v>23</v>
      </c>
      <c r="C37" s="68" t="s">
        <v>34</v>
      </c>
      <c r="D37" s="77">
        <v>172.5</v>
      </c>
      <c r="F37" s="9">
        <v>10000</v>
      </c>
      <c r="G37">
        <f t="shared" si="7"/>
        <v>1725000</v>
      </c>
      <c r="H37" s="20">
        <f t="shared" si="5"/>
        <v>2768.625</v>
      </c>
      <c r="I37" s="11">
        <f t="shared" si="8"/>
        <v>1722231.375</v>
      </c>
      <c r="J37" s="8">
        <f t="shared" si="2"/>
        <v>172.22313750000001</v>
      </c>
      <c r="K37" s="24">
        <f>I37-I35</f>
        <v>-529.22500000009313</v>
      </c>
    </row>
    <row r="38" spans="1:11">
      <c r="A38" s="29"/>
      <c r="B38" s="44" t="s">
        <v>23</v>
      </c>
      <c r="C38" s="68" t="s">
        <v>35</v>
      </c>
      <c r="D38" s="77">
        <v>102.5</v>
      </c>
      <c r="F38" s="9">
        <v>10000</v>
      </c>
      <c r="G38">
        <f t="shared" si="7"/>
        <v>1025000</v>
      </c>
      <c r="H38" s="20">
        <f t="shared" si="5"/>
        <v>1645.125</v>
      </c>
      <c r="I38" s="11">
        <f t="shared" si="8"/>
        <v>1023354.875</v>
      </c>
      <c r="J38" s="8">
        <f t="shared" si="2"/>
        <v>102.3354875</v>
      </c>
      <c r="K38" s="22">
        <f>I38-I36</f>
        <v>1717.7750000000233</v>
      </c>
    </row>
    <row r="39" spans="1:11">
      <c r="A39" s="29"/>
      <c r="B39" s="45" t="s">
        <v>36</v>
      </c>
      <c r="C39" s="68" t="s">
        <v>37</v>
      </c>
      <c r="D39" s="77">
        <v>87.25</v>
      </c>
      <c r="F39" s="9">
        <v>10000</v>
      </c>
      <c r="G39">
        <f t="shared" si="7"/>
        <v>872500</v>
      </c>
      <c r="H39" s="20">
        <f t="shared" si="5"/>
        <v>1400.3625000000002</v>
      </c>
      <c r="I39" s="11">
        <f>G39+H39</f>
        <v>873900.36250000005</v>
      </c>
      <c r="J39" s="8">
        <f t="shared" si="2"/>
        <v>87.390036250000009</v>
      </c>
      <c r="K39" s="25"/>
    </row>
    <row r="40" spans="1:11">
      <c r="A40" s="29"/>
      <c r="B40" s="44" t="s">
        <v>23</v>
      </c>
      <c r="C40" s="68" t="s">
        <v>37</v>
      </c>
      <c r="D40" s="77">
        <v>87.5</v>
      </c>
      <c r="F40" s="9">
        <v>10000</v>
      </c>
      <c r="G40">
        <f t="shared" si="7"/>
        <v>875000</v>
      </c>
      <c r="H40" s="20">
        <f t="shared" si="5"/>
        <v>1404.375</v>
      </c>
      <c r="I40" s="11">
        <f t="shared" si="8"/>
        <v>873595.625</v>
      </c>
      <c r="J40" s="8">
        <f t="shared" si="2"/>
        <v>87.359562499999996</v>
      </c>
      <c r="K40" s="24">
        <f>I40-I39</f>
        <v>-304.73750000004657</v>
      </c>
    </row>
    <row r="41" spans="1:11">
      <c r="A41" s="29"/>
      <c r="B41" s="45" t="s">
        <v>36</v>
      </c>
      <c r="C41" s="68" t="s">
        <v>38</v>
      </c>
      <c r="D41" s="77">
        <v>70.5</v>
      </c>
      <c r="F41" s="9">
        <v>10000</v>
      </c>
      <c r="G41">
        <f t="shared" si="7"/>
        <v>705000</v>
      </c>
      <c r="H41" s="20">
        <f t="shared" si="5"/>
        <v>1131.5250000000001</v>
      </c>
      <c r="I41" s="11">
        <f>G41+H41</f>
        <v>706131.52500000002</v>
      </c>
      <c r="J41" s="8">
        <f t="shared" si="2"/>
        <v>70.613152499999998</v>
      </c>
      <c r="K41" s="25"/>
    </row>
    <row r="42" spans="1:11">
      <c r="A42" s="29"/>
      <c r="B42" s="45" t="s">
        <v>22</v>
      </c>
      <c r="C42" s="68" t="s">
        <v>34</v>
      </c>
      <c r="D42" s="77">
        <v>172</v>
      </c>
      <c r="F42" s="9">
        <v>10000</v>
      </c>
      <c r="G42">
        <f t="shared" si="7"/>
        <v>1720000</v>
      </c>
      <c r="H42" s="20">
        <f t="shared" si="5"/>
        <v>2760.6000000000004</v>
      </c>
      <c r="I42" s="11">
        <f>G42+H42</f>
        <v>1722760.6</v>
      </c>
      <c r="J42" s="8">
        <f t="shared" si="2"/>
        <v>172.27606</v>
      </c>
      <c r="K42" s="25"/>
    </row>
    <row r="43" spans="1:11">
      <c r="A43" s="29"/>
      <c r="B43" s="44" t="s">
        <v>23</v>
      </c>
      <c r="C43" s="68" t="s">
        <v>34</v>
      </c>
      <c r="D43" s="77">
        <v>172.5</v>
      </c>
      <c r="F43" s="9">
        <v>10000</v>
      </c>
      <c r="G43">
        <f t="shared" si="7"/>
        <v>1725000</v>
      </c>
      <c r="H43" s="20">
        <f t="shared" si="5"/>
        <v>2768.625</v>
      </c>
      <c r="I43" s="11">
        <f t="shared" si="8"/>
        <v>1722231.375</v>
      </c>
      <c r="J43" s="8">
        <f t="shared" si="2"/>
        <v>172.22313750000001</v>
      </c>
      <c r="K43" s="24">
        <f>I43-I42</f>
        <v>-529.22500000009313</v>
      </c>
    </row>
    <row r="44" spans="1:11">
      <c r="A44" s="29"/>
      <c r="B44" s="44" t="s">
        <v>23</v>
      </c>
      <c r="C44" s="68" t="s">
        <v>38</v>
      </c>
      <c r="D44" s="77">
        <v>70.75</v>
      </c>
      <c r="F44" s="9">
        <v>10000</v>
      </c>
      <c r="G44">
        <f t="shared" si="7"/>
        <v>707500</v>
      </c>
      <c r="H44" s="20">
        <f t="shared" si="5"/>
        <v>1135.5375000000001</v>
      </c>
      <c r="I44" s="11">
        <f t="shared" si="8"/>
        <v>706364.46250000002</v>
      </c>
      <c r="J44" s="8">
        <f t="shared" si="2"/>
        <v>70.636446250000006</v>
      </c>
      <c r="K44" s="22">
        <f>I44-I41</f>
        <v>232.9375</v>
      </c>
    </row>
    <row r="45" spans="1:11">
      <c r="A45" s="29"/>
      <c r="B45" s="45" t="s">
        <v>22</v>
      </c>
      <c r="C45" s="68" t="s">
        <v>31</v>
      </c>
      <c r="D45" s="77">
        <v>60.5</v>
      </c>
      <c r="F45" s="9">
        <v>10000</v>
      </c>
      <c r="G45">
        <f t="shared" si="7"/>
        <v>605000</v>
      </c>
      <c r="H45" s="20">
        <f t="shared" si="5"/>
        <v>971.02500000000009</v>
      </c>
      <c r="I45" s="11">
        <f>G45+H45</f>
        <v>605971.02500000002</v>
      </c>
      <c r="J45" s="8">
        <f t="shared" si="2"/>
        <v>60.597102500000005</v>
      </c>
      <c r="K45" s="25"/>
    </row>
    <row r="46" spans="1:11">
      <c r="A46" s="29"/>
      <c r="B46" s="44" t="s">
        <v>23</v>
      </c>
      <c r="C46" s="68" t="s">
        <v>31</v>
      </c>
      <c r="D46" s="77">
        <v>60.75</v>
      </c>
      <c r="F46" s="9">
        <v>10000</v>
      </c>
      <c r="G46">
        <f t="shared" si="7"/>
        <v>607500</v>
      </c>
      <c r="H46" s="20">
        <f t="shared" si="5"/>
        <v>975.03750000000002</v>
      </c>
      <c r="I46" s="11">
        <f t="shared" si="8"/>
        <v>606524.96250000002</v>
      </c>
      <c r="J46" s="8">
        <f t="shared" si="2"/>
        <v>60.652496250000006</v>
      </c>
      <c r="K46" s="22">
        <f>I46-I45</f>
        <v>553.9375</v>
      </c>
    </row>
    <row r="47" spans="1:11">
      <c r="A47" s="29"/>
      <c r="B47" s="45" t="s">
        <v>22</v>
      </c>
      <c r="C47" s="68" t="s">
        <v>39</v>
      </c>
      <c r="D47" s="77">
        <v>167.5</v>
      </c>
      <c r="F47" s="9">
        <v>2400</v>
      </c>
      <c r="G47">
        <f t="shared" si="7"/>
        <v>402000</v>
      </c>
      <c r="H47" s="20">
        <f t="shared" si="5"/>
        <v>645.21</v>
      </c>
      <c r="I47" s="11">
        <f>G47+H47</f>
        <v>402645.21</v>
      </c>
      <c r="J47" s="8">
        <f t="shared" si="2"/>
        <v>167.76883750000002</v>
      </c>
      <c r="K47" s="25"/>
    </row>
    <row r="48" spans="1:11">
      <c r="A48" s="29"/>
      <c r="B48" s="45" t="s">
        <v>36</v>
      </c>
      <c r="C48" s="68" t="s">
        <v>40</v>
      </c>
      <c r="D48" s="77">
        <v>4.8</v>
      </c>
      <c r="F48" s="9">
        <v>10000</v>
      </c>
      <c r="G48">
        <f t="shared" si="7"/>
        <v>48000</v>
      </c>
      <c r="H48" s="20">
        <f t="shared" si="5"/>
        <v>77.040000000000006</v>
      </c>
      <c r="I48" s="11">
        <f>G48+H48</f>
        <v>48077.04</v>
      </c>
      <c r="J48" s="8">
        <f t="shared" si="2"/>
        <v>4.8077040000000002</v>
      </c>
      <c r="K48" s="25"/>
    </row>
    <row r="49" spans="1:15">
      <c r="A49" s="29"/>
      <c r="B49" s="44" t="s">
        <v>23</v>
      </c>
      <c r="C49" s="68" t="s">
        <v>39</v>
      </c>
      <c r="D49" s="77">
        <v>168</v>
      </c>
      <c r="F49" s="9">
        <v>2400</v>
      </c>
      <c r="G49">
        <f t="shared" si="7"/>
        <v>403200</v>
      </c>
      <c r="H49" s="20">
        <f t="shared" si="5"/>
        <v>647.13600000000008</v>
      </c>
      <c r="I49" s="11">
        <f t="shared" si="8"/>
        <v>402552.864</v>
      </c>
      <c r="J49" s="8">
        <f t="shared" si="2"/>
        <v>167.73035999999999</v>
      </c>
      <c r="K49" s="24">
        <f>I49-I47</f>
        <v>-92.346000000019558</v>
      </c>
    </row>
    <row r="50" spans="1:15">
      <c r="A50" s="29"/>
      <c r="B50" s="45" t="s">
        <v>22</v>
      </c>
      <c r="C50" s="68" t="s">
        <v>35</v>
      </c>
      <c r="D50" s="77">
        <v>102.5</v>
      </c>
      <c r="F50" s="9">
        <v>10000</v>
      </c>
      <c r="G50">
        <f>D50*F50</f>
        <v>1025000</v>
      </c>
      <c r="H50" s="20">
        <f t="shared" si="5"/>
        <v>1645.125</v>
      </c>
      <c r="I50" s="11">
        <f>G50+H50</f>
        <v>1026645.125</v>
      </c>
      <c r="J50" s="8">
        <f>I50/F50</f>
        <v>102.6645125</v>
      </c>
    </row>
    <row r="51" spans="1:15">
      <c r="A51" s="29"/>
      <c r="B51" s="44" t="s">
        <v>23</v>
      </c>
      <c r="C51" s="68" t="s">
        <v>40</v>
      </c>
      <c r="D51" s="77">
        <v>4.82</v>
      </c>
      <c r="F51" s="9">
        <v>200</v>
      </c>
      <c r="G51">
        <f>D51*F51</f>
        <v>964</v>
      </c>
      <c r="H51" s="20">
        <f t="shared" si="5"/>
        <v>1.54722</v>
      </c>
      <c r="I51" s="11">
        <f>G51-H51</f>
        <v>962.45277999999996</v>
      </c>
      <c r="J51" s="8">
        <f>I51/F51</f>
        <v>4.8122638999999996</v>
      </c>
    </row>
    <row r="52" spans="1:15">
      <c r="A52" s="28">
        <v>45203</v>
      </c>
      <c r="B52" s="44" t="s">
        <v>23</v>
      </c>
      <c r="C52" s="68" t="s">
        <v>35</v>
      </c>
      <c r="D52" s="77">
        <v>103</v>
      </c>
      <c r="F52" s="9">
        <v>10000</v>
      </c>
      <c r="G52">
        <f t="shared" ref="G52:G54" si="9">D52*F52</f>
        <v>1030000</v>
      </c>
      <c r="H52" s="20">
        <f t="shared" si="5"/>
        <v>1653.15</v>
      </c>
      <c r="I52" s="11">
        <f>G52-H52</f>
        <v>1028346.85</v>
      </c>
      <c r="J52" s="8">
        <f t="shared" ref="J52:J56" si="10">I52/F52</f>
        <v>102.83468499999999</v>
      </c>
      <c r="K52" s="22">
        <f>I52-I50</f>
        <v>1701.7249999999767</v>
      </c>
      <c r="N52" s="11"/>
    </row>
    <row r="53" spans="1:15">
      <c r="A53" s="29"/>
      <c r="B53" s="45" t="s">
        <v>22</v>
      </c>
      <c r="C53" s="68" t="s">
        <v>35</v>
      </c>
      <c r="D53" s="77">
        <v>102.5</v>
      </c>
      <c r="F53" s="9">
        <v>10000</v>
      </c>
      <c r="G53">
        <f t="shared" si="9"/>
        <v>1025000</v>
      </c>
      <c r="H53" s="20">
        <f t="shared" si="5"/>
        <v>1645.125</v>
      </c>
      <c r="I53" s="11">
        <f t="shared" ref="I53" si="11">G53+H53</f>
        <v>1026645.125</v>
      </c>
      <c r="J53" s="8">
        <f t="shared" si="10"/>
        <v>102.6645125</v>
      </c>
      <c r="K53" s="23"/>
    </row>
    <row r="54" spans="1:15">
      <c r="A54" s="29"/>
      <c r="B54" s="44" t="s">
        <v>23</v>
      </c>
      <c r="C54" s="68" t="s">
        <v>35</v>
      </c>
      <c r="D54" s="77">
        <v>103</v>
      </c>
      <c r="F54" s="9">
        <v>10000</v>
      </c>
      <c r="G54">
        <f>D54*F54</f>
        <v>1030000</v>
      </c>
      <c r="H54" s="20">
        <f t="shared" si="5"/>
        <v>1653.15</v>
      </c>
      <c r="I54" s="11">
        <f>G54-H54</f>
        <v>1028346.85</v>
      </c>
      <c r="J54" s="8">
        <f>I54/F54</f>
        <v>102.83468499999999</v>
      </c>
      <c r="K54" s="22">
        <f>I54-I53</f>
        <v>1701.7249999999767</v>
      </c>
    </row>
    <row r="55" spans="1:15">
      <c r="A55" s="28">
        <v>45204</v>
      </c>
      <c r="B55" s="46"/>
      <c r="C55" s="68"/>
      <c r="D55" s="77"/>
      <c r="H55" s="20"/>
      <c r="I55" s="11"/>
      <c r="J55" s="8"/>
    </row>
    <row r="56" spans="1:15">
      <c r="A56" s="29"/>
      <c r="B56" s="44" t="s">
        <v>23</v>
      </c>
      <c r="C56" s="68" t="s">
        <v>40</v>
      </c>
      <c r="D56" s="77">
        <v>4.54</v>
      </c>
      <c r="F56" s="9">
        <v>9800</v>
      </c>
      <c r="G56">
        <f>D56*F56</f>
        <v>44492</v>
      </c>
      <c r="H56" s="20">
        <f>G56*0.001605</f>
        <v>71.409660000000002</v>
      </c>
      <c r="I56" s="11">
        <f>G56-H56</f>
        <v>44420.590340000002</v>
      </c>
      <c r="J56" s="8">
        <f>I56/F56</f>
        <v>4.5327133000000002</v>
      </c>
      <c r="K56" s="24">
        <f>I56-I48+I51</f>
        <v>-2693.9968799999983</v>
      </c>
    </row>
    <row r="57" spans="1:15">
      <c r="A57" s="29"/>
      <c r="B57" s="27"/>
      <c r="C57" s="69"/>
      <c r="D57" s="78"/>
    </row>
    <row r="58" spans="1:15">
      <c r="A58" s="26"/>
    </row>
    <row r="59" spans="1:15">
      <c r="A59" s="26"/>
    </row>
    <row r="60" spans="1:15">
      <c r="A60" s="26"/>
    </row>
    <row r="61" spans="1:15">
      <c r="A61" s="79" t="s">
        <v>42</v>
      </c>
      <c r="J61" s="9"/>
      <c r="K61" s="9">
        <v>5000000</v>
      </c>
    </row>
    <row r="62" spans="1:15">
      <c r="A62" s="26"/>
    </row>
    <row r="63" spans="1:15">
      <c r="A63" s="26"/>
    </row>
    <row r="64" spans="1:15">
      <c r="A64" s="79" t="s">
        <v>43</v>
      </c>
      <c r="K64" s="11">
        <f>SUM(K11:K61)</f>
        <v>5003493.9996199999</v>
      </c>
      <c r="L64" s="82" t="s">
        <v>47</v>
      </c>
      <c r="M64" s="11">
        <f>P23</f>
        <v>500.80750000000762</v>
      </c>
      <c r="O64" s="11">
        <f>K64+M64</f>
        <v>5003994.80712</v>
      </c>
    </row>
    <row r="65" spans="1:1">
      <c r="A65" s="26"/>
    </row>
    <row r="66" spans="1:1">
      <c r="A66" s="26"/>
    </row>
    <row r="67" spans="1:1">
      <c r="A67" s="26"/>
    </row>
    <row r="68" spans="1:1">
      <c r="A68" s="26"/>
    </row>
  </sheetData>
  <mergeCells count="17">
    <mergeCell ref="A55:A57"/>
    <mergeCell ref="A52:A54"/>
    <mergeCell ref="N1:S1"/>
    <mergeCell ref="A35:A51"/>
    <mergeCell ref="A27:A34"/>
    <mergeCell ref="K3:K4"/>
    <mergeCell ref="A1:A4"/>
    <mergeCell ref="B3:B4"/>
    <mergeCell ref="C3:C4"/>
    <mergeCell ref="D3:D4"/>
    <mergeCell ref="E3:E4"/>
    <mergeCell ref="F3:F4"/>
    <mergeCell ref="A18:A26"/>
    <mergeCell ref="A5:A16"/>
    <mergeCell ref="G3:G4"/>
    <mergeCell ref="H3:H4"/>
    <mergeCell ref="J3:J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Teeruth Ieowsakulrat</dc:creator>
  <cp:lastModifiedBy>Teeruth Ieowsakulrat</cp:lastModifiedBy>
  <dcterms:created xsi:type="dcterms:W3CDTF">2023-09-22T02:59:10Z</dcterms:created>
  <dcterms:modified xsi:type="dcterms:W3CDTF">2023-10-05T07:09:18Z</dcterms:modified>
</cp:coreProperties>
</file>